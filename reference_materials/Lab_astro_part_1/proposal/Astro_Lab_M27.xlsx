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16177_tecnico_ulisboa_pt/Documents/Lab_astro/proposal/"/>
    </mc:Choice>
  </mc:AlternateContent>
  <xr:revisionPtr revIDLastSave="157" documentId="8_{AAEB2AF8-238A-4C92-9A4C-F1186FB0DE0D}" xr6:coauthVersionLast="47" xr6:coauthVersionMax="47" xr10:uidLastSave="{84D60A44-6DDB-4282-8449-0F188435BFD7}"/>
  <bookViews>
    <workbookView xWindow="-108" yWindow="-108" windowWidth="23256" windowHeight="12456" tabRatio="339" xr2:uid="{6AF523B0-51E2-4AFF-BEAC-E49E8F1CB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5" i="1"/>
  <c r="C23" i="1" l="1"/>
  <c r="C22" i="1"/>
</calcChain>
</file>

<file path=xl/sharedStrings.xml><?xml version="1.0" encoding="utf-8"?>
<sst xmlns="http://schemas.openxmlformats.org/spreadsheetml/2006/main" count="18" uniqueCount="18">
  <si>
    <t>time</t>
  </si>
  <si>
    <t>M27</t>
  </si>
  <si>
    <t>airmass</t>
  </si>
  <si>
    <t>Az</t>
  </si>
  <si>
    <t>Alt</t>
  </si>
  <si>
    <t xml:space="preserve">247°42'57.4" </t>
  </si>
  <si>
    <t>237°59'19.2"</t>
  </si>
  <si>
    <t>224°43'09.0"</t>
  </si>
  <si>
    <t xml:space="preserve">206°14'50.5" </t>
  </si>
  <si>
    <t xml:space="preserve">182°33'04.2" </t>
  </si>
  <si>
    <t xml:space="preserve">158°12'30.6" </t>
  </si>
  <si>
    <t xml:space="preserve">138°33'30.3" </t>
  </si>
  <si>
    <t>astronomical night time</t>
  </si>
  <si>
    <t>astronomical twilight time</t>
  </si>
  <si>
    <t>prepare obervation period</t>
  </si>
  <si>
    <t>average</t>
  </si>
  <si>
    <t>median</t>
  </si>
  <si>
    <t>12Vul airmass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</si>
</sst>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rgb="FF01010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4" borderId="13" xfId="0" applyNumberFormat="1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165" fontId="1" fillId="4" borderId="16" xfId="0" applyNumberFormat="1" applyFont="1" applyFill="1" applyBorder="1" applyAlignment="1">
      <alignment horizontal="center" vertical="center" wrapText="1"/>
    </xf>
    <xf numFmtId="2" fontId="1" fillId="4" borderId="17" xfId="0" applyNumberFormat="1" applyFont="1" applyFill="1" applyBorder="1" applyAlignment="1">
      <alignment horizontal="center" vertical="center" wrapText="1"/>
    </xf>
    <xf numFmtId="164" fontId="1" fillId="4" borderId="14" xfId="0" applyNumberFormat="1" applyFont="1" applyFill="1" applyBorder="1" applyAlignment="1">
      <alignment horizontal="center" vertical="center" wrapText="1"/>
    </xf>
    <xf numFmtId="2" fontId="2" fillId="4" borderId="1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 wrapText="1"/>
    </xf>
    <xf numFmtId="2" fontId="1" fillId="4" borderId="3" xfId="0" applyNumberFormat="1" applyFont="1" applyFill="1" applyBorder="1" applyAlignment="1">
      <alignment horizontal="center" vertical="center" wrapText="1"/>
    </xf>
    <xf numFmtId="164" fontId="1" fillId="3" borderId="14" xfId="0" applyNumberFormat="1" applyFont="1" applyFill="1" applyBorder="1" applyAlignment="1">
      <alignment horizontal="center" vertical="center" wrapText="1"/>
    </xf>
    <xf numFmtId="2" fontId="2" fillId="3" borderId="1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2" fontId="2" fillId="2" borderId="12" xfId="0" applyNumberFormat="1" applyFont="1" applyFill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 wrapText="1"/>
    </xf>
    <xf numFmtId="2" fontId="2" fillId="2" borderId="21" xfId="0" applyNumberFormat="1" applyFont="1" applyFill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48CE-394E-47BE-AB12-E2F970CDFDD3}">
  <dimension ref="B2:M23"/>
  <sheetViews>
    <sheetView tabSelected="1" zoomScale="145" zoomScaleNormal="145" workbookViewId="0">
      <selection activeCell="H6" sqref="H6"/>
    </sheetView>
  </sheetViews>
  <sheetFormatPr defaultRowHeight="14.4"/>
  <cols>
    <col min="1" max="1" width="8.88671875" style="1"/>
    <col min="2" max="2" width="8.33203125" style="1" bestFit="1" customWidth="1"/>
    <col min="3" max="3" width="12.109375" style="1" bestFit="1" customWidth="1"/>
    <col min="4" max="4" width="7.33203125" style="1" bestFit="1" customWidth="1"/>
    <col min="5" max="5" width="12.44140625" style="1" bestFit="1" customWidth="1"/>
    <col min="6" max="6" width="23" style="1" customWidth="1"/>
    <col min="7" max="7" width="8.88671875" style="1"/>
    <col min="8" max="8" width="7.44140625" style="1" bestFit="1" customWidth="1"/>
    <col min="9" max="10" width="12.44140625" style="1" customWidth="1"/>
    <col min="11" max="11" width="10.44140625" style="1" customWidth="1"/>
    <col min="12" max="12" width="16.5546875" style="1" customWidth="1"/>
    <col min="13" max="16384" width="8.88671875" style="1"/>
  </cols>
  <sheetData>
    <row r="2" spans="2:13" ht="15" thickBot="1"/>
    <row r="3" spans="2:13" ht="29.4" customHeight="1" thickBot="1">
      <c r="D3" s="29" t="s">
        <v>1</v>
      </c>
      <c r="E3" s="30"/>
    </row>
    <row r="4" spans="2:13" ht="29.4" thickBot="1">
      <c r="B4" s="2" t="s">
        <v>0</v>
      </c>
      <c r="C4" s="3" t="s">
        <v>2</v>
      </c>
      <c r="D4" s="4" t="s">
        <v>4</v>
      </c>
      <c r="E4" s="5" t="s">
        <v>3</v>
      </c>
      <c r="H4" s="24" t="s">
        <v>17</v>
      </c>
      <c r="I4" s="24">
        <v>1.04</v>
      </c>
      <c r="M4" s="25"/>
    </row>
    <row r="5" spans="2:13">
      <c r="B5" s="6">
        <v>0.83333333333333304</v>
      </c>
      <c r="C5" s="7">
        <f>1/COS(RADIANS(90-D5))</f>
        <v>1.1547005383792515</v>
      </c>
      <c r="D5" s="8">
        <v>60</v>
      </c>
      <c r="E5" s="9"/>
      <c r="F5" s="31" t="s">
        <v>14</v>
      </c>
    </row>
    <row r="6" spans="2:13">
      <c r="B6" s="10">
        <v>0.84375</v>
      </c>
      <c r="C6" s="11">
        <f t="shared" ref="C6:C21" si="0">1/COS(RADIANS(90-D6))</f>
        <v>1.1223262376343608</v>
      </c>
      <c r="D6" s="12">
        <v>63</v>
      </c>
      <c r="E6" s="13"/>
      <c r="F6" s="32"/>
    </row>
    <row r="7" spans="2:13" ht="14.4" customHeight="1">
      <c r="B7" s="10">
        <v>0.85416666666666663</v>
      </c>
      <c r="C7" s="11">
        <f t="shared" si="0"/>
        <v>1.0989478695469366</v>
      </c>
      <c r="D7" s="12">
        <v>65.5</v>
      </c>
      <c r="E7" s="13"/>
      <c r="F7" s="32"/>
    </row>
    <row r="8" spans="2:13" ht="14.4" customHeight="1">
      <c r="B8" s="10">
        <v>0.86458333333333337</v>
      </c>
      <c r="C8" s="11">
        <f t="shared" si="0"/>
        <v>1.0863603774052961</v>
      </c>
      <c r="D8" s="12">
        <v>67</v>
      </c>
      <c r="E8" s="13"/>
      <c r="F8" s="32"/>
    </row>
    <row r="9" spans="2:13">
      <c r="B9" s="10">
        <v>0.875</v>
      </c>
      <c r="C9" s="11">
        <f t="shared" si="0"/>
        <v>1.064855841433846</v>
      </c>
      <c r="D9" s="12">
        <v>69.900000000000006</v>
      </c>
      <c r="E9" s="13" t="s">
        <v>11</v>
      </c>
      <c r="F9" s="32"/>
    </row>
    <row r="10" spans="2:13">
      <c r="B10" s="10">
        <v>0.88541666666666696</v>
      </c>
      <c r="C10" s="11">
        <f t="shared" si="0"/>
        <v>1.0538784706622528</v>
      </c>
      <c r="D10" s="12">
        <v>71.599999999999994</v>
      </c>
      <c r="E10" s="13"/>
      <c r="F10" s="32"/>
    </row>
    <row r="11" spans="2:13" ht="15" thickBot="1">
      <c r="B11" s="10">
        <v>0.89583333333333404</v>
      </c>
      <c r="C11" s="11">
        <f t="shared" si="0"/>
        <v>1.045691756487148</v>
      </c>
      <c r="D11" s="12">
        <v>73</v>
      </c>
      <c r="E11" s="13" t="s">
        <v>10</v>
      </c>
      <c r="F11" s="33"/>
    </row>
    <row r="12" spans="2:13">
      <c r="B12" s="14">
        <v>0.90625</v>
      </c>
      <c r="C12" s="15">
        <f t="shared" si="0"/>
        <v>1.0413480947706812</v>
      </c>
      <c r="D12" s="16">
        <v>73.8</v>
      </c>
      <c r="E12" s="17"/>
      <c r="F12" s="31" t="s">
        <v>13</v>
      </c>
    </row>
    <row r="13" spans="2:13">
      <c r="B13" s="14">
        <v>0.91666666666666696</v>
      </c>
      <c r="C13" s="15">
        <f t="shared" si="0"/>
        <v>1.040299435861602</v>
      </c>
      <c r="D13" s="16">
        <v>74</v>
      </c>
      <c r="E13" s="17" t="s">
        <v>9</v>
      </c>
      <c r="F13" s="32"/>
    </row>
    <row r="14" spans="2:13" ht="15" thickBot="1">
      <c r="B14" s="14">
        <v>0.92708333333333404</v>
      </c>
      <c r="C14" s="15">
        <f t="shared" si="0"/>
        <v>1.0424115842568116</v>
      </c>
      <c r="D14" s="16">
        <v>73.599999999999994</v>
      </c>
      <c r="E14" s="17"/>
      <c r="F14" s="34"/>
    </row>
    <row r="15" spans="2:13">
      <c r="B15" s="18">
        <v>0.937500000000001</v>
      </c>
      <c r="C15" s="19">
        <f t="shared" si="0"/>
        <v>1.0485291251408106</v>
      </c>
      <c r="D15" s="20">
        <v>72.5</v>
      </c>
      <c r="E15" s="21" t="s">
        <v>8</v>
      </c>
      <c r="F15" s="35" t="s">
        <v>12</v>
      </c>
    </row>
    <row r="16" spans="2:13">
      <c r="B16" s="18">
        <v>0.94791666666666696</v>
      </c>
      <c r="C16" s="19">
        <f t="shared" si="0"/>
        <v>1.0569870790932325</v>
      </c>
      <c r="D16" s="20">
        <v>71.099999999999994</v>
      </c>
      <c r="E16" s="21"/>
      <c r="F16" s="32"/>
    </row>
    <row r="17" spans="2:6">
      <c r="B17" s="18">
        <v>0.95833333333333404</v>
      </c>
      <c r="C17" s="19">
        <f t="shared" si="0"/>
        <v>1.0704294696584387</v>
      </c>
      <c r="D17" s="20">
        <v>69.099999999999994</v>
      </c>
      <c r="E17" s="21" t="s">
        <v>7</v>
      </c>
      <c r="F17" s="32"/>
    </row>
    <row r="18" spans="2:6">
      <c r="B18" s="18">
        <v>0.968750000000001</v>
      </c>
      <c r="C18" s="19">
        <f t="shared" si="0"/>
        <v>1.0900279131081587</v>
      </c>
      <c r="D18" s="20">
        <v>66.55</v>
      </c>
      <c r="E18" s="21"/>
      <c r="F18" s="32"/>
    </row>
    <row r="19" spans="2:6">
      <c r="B19" s="18">
        <v>0.97916666666666796</v>
      </c>
      <c r="C19" s="19">
        <f t="shared" si="0"/>
        <v>1.1079285440824664</v>
      </c>
      <c r="D19" s="20">
        <v>64.5</v>
      </c>
      <c r="E19" s="21" t="s">
        <v>6</v>
      </c>
      <c r="F19" s="32"/>
    </row>
    <row r="20" spans="2:6">
      <c r="B20" s="18">
        <v>0.98958333333333504</v>
      </c>
      <c r="C20" s="19">
        <f t="shared" si="0"/>
        <v>1.129441155788683</v>
      </c>
      <c r="D20" s="20">
        <v>62.3</v>
      </c>
      <c r="E20" s="21"/>
      <c r="F20" s="32"/>
    </row>
    <row r="21" spans="2:6" ht="15" thickBot="1">
      <c r="B21" s="26">
        <v>1</v>
      </c>
      <c r="C21" s="27">
        <f t="shared" si="0"/>
        <v>1.162990472936533</v>
      </c>
      <c r="D21" s="22">
        <v>59.3</v>
      </c>
      <c r="E21" s="23" t="s">
        <v>5</v>
      </c>
      <c r="F21" s="34"/>
    </row>
    <row r="22" spans="2:6">
      <c r="B22" s="24" t="s">
        <v>15</v>
      </c>
      <c r="C22" s="28">
        <f>AVERAGE(C5:C21)</f>
        <v>1.0833619980145006</v>
      </c>
    </row>
    <row r="23" spans="2:6">
      <c r="B23" s="24" t="s">
        <v>16</v>
      </c>
      <c r="C23" s="28">
        <f>MEDIAN(C5:C21)</f>
        <v>1.0704294696584387</v>
      </c>
    </row>
  </sheetData>
  <mergeCells count="4">
    <mergeCell ref="D3:E3"/>
    <mergeCell ref="F5:F11"/>
    <mergeCell ref="F12:F14"/>
    <mergeCell ref="F15:F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Vasco Coelho Rico Soares</dc:creator>
  <cp:lastModifiedBy>Vasco Coelho Rico Soares</cp:lastModifiedBy>
  <dcterms:created xsi:type="dcterms:W3CDTF">2025-09-10T09:56:02Z</dcterms:created>
  <dcterms:modified xsi:type="dcterms:W3CDTF">2025-09-23T13:39:24Z</dcterms:modified>
</cp:coreProperties>
</file>